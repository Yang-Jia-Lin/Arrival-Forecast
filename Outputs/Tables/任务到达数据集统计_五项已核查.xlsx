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笔记\01-Research\到达拟合预测\outputs\five-datasets\"/>
    </mc:Choice>
  </mc:AlternateContent>
  <bookViews>
    <workbookView windowWidth="29868" windowHeight="1389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<sst xmlns="http://schemas.openxmlformats.org/spreadsheetml/2006/main" count="665" uniqueCount="162">
  <si>
    <t>负责人</t>
  </si>
  <si>
    <t>进度</t>
  </si>
  <si>
    <t>任务类型</t>
  </si>
  <si>
    <t>数据集名称</t>
  </si>
  <si>
    <t>版本</t>
  </si>
  <si>
    <t>是否合适</t>
  </si>
  <si>
    <t>任务场景</t>
  </si>
  <si>
    <t>时间范围与粒度</t>
  </si>
  <si>
    <t>数据规模</t>
  </si>
  <si>
    <t>格式</t>
  </si>
  <si>
    <t>官方介绍链接</t>
  </si>
  <si>
    <t>下载入口</t>
  </si>
  <si>
    <t>12</t>
  </si>
  <si>
    <t/>
  </si>
  <si>
    <t>数据集的正式名称</t>
  </si>
  <si>
    <t>年份或版本号，不同版本分开填写</t>
  </si>
  <si>
    <t>不合适请填写原因</t>
  </si>
  <si>
    <t>什么场景；一次任务具体指一次请求、一个作业还是一个子任务</t>
  </si>
  <si>
    <t>覆盖多久、是否连续
时间戳精度或计数窗口大小</t>
  </si>
  <si>
    <t>任务数、文件大小</t>
  </si>
  <si>
    <t>CSV／JSON等</t>
  </si>
  <si>
    <t>优先填写发布方网页或官方仓库</t>
  </si>
  <si>
    <t>下载链接及获取要求</t>
  </si>
  <si>
    <t>已下载并处理</t>
  </si>
  <si>
    <t>云计算、AI作业与请求日志</t>
  </si>
  <si>
    <t>Alibaba GPU Cluster Trace</t>
  </si>
  <si>
    <t>2020</t>
  </si>
  <si>
    <t>适合：有标签子集可按 workload 刻画。有效已标注作业仅占 9.74%；不能代表全部作业。</t>
  </si>
  <si>
    <t>一次任务=一个 job；job 表 start_time 为提交时间。通过 inst_id 关联 workload；已观察到 bert、ctr 等 9 类标签。</t>
  </si>
  <si>
    <t>官方：2020年7—8月；时间戳秒级、脱敏。实测提交时间跨度约68.94天，与官方月份描述不完全一致；连续性尚未独立确认。</t>
  </si>
  <si>
    <t>1,055,501 个 job；有效提交1,051,838；有效有标签102,445。已下载作业表+标签表117.13 MB（压缩）。</t>
  </si>
  <si>
    <t>无表头 CSV；tar.gz</t>
  </si>
  <si>
    <t>Microsoft Philly Traces</t>
  </si>
  <si>
    <t>2017采集</t>
  </si>
  <si>
    <t>条件适合：可研究训练作业总量；没有可解释的模型/业务类型标签。VC 是资源分组。</t>
  </si>
  <si>
    <t>一次任务=一个训练 job；用 submitted_time。重试 attempts 不重复计为新作业；失败和取消作业保留。</t>
  </si>
  <si>
    <t>实测2017-08-07 10:03:01至2017-12-22 08:02:11；秒级。原时间字符串无时区，按原值保留。</t>
  </si>
  <si>
    <t>117,325 个 job，15个VC；提取 job log 38.97 MB。源压缩包约1.056 GB，本次未保存资源监控全包。</t>
  </si>
  <si>
    <t>JSON（位于 tar.gz）</t>
  </si>
  <si>
    <t>Google Cluster Data</t>
  </si>
  <si>
    <t>2011 / trace v2</t>
  </si>
  <si>
    <t>条件适合：按调度类别或匿名作业标识研究；调度类别0—3不是业务类型。</t>
  </si>
  <si>
    <t>一次任务=一个 job 的首次有效 SUBMIT。使用 job_events；排除初始快照、缺失信息和重复提交。</t>
  </si>
  <si>
    <t>官方：2011年5月约29天；微秒时间戳。分析从600秒起，末事件2,506,198.229242秒；边界小时单独标记。</t>
  </si>
  <si>
    <t>job_events全部500分片，2,012,242条事件；有效唯一提交668,087个job。压缩86.56 MB。</t>
  </si>
  <si>
    <t>无表头 CSV；gzip</t>
  </si>
  <si>
    <t>已下载并处理（cell a）</t>
  </si>
  <si>
    <t>2019 / trace v3</t>
  </si>
  <si>
    <t>条件适合：调度类别非业务；当前只处理 cell a。含子作业，另提供无已记录父作业的计数作敏感性比较。</t>
  </si>
  <si>
    <t>一次任务=collection_type=JOB 的首次有效 SUBMIT；排除 alloc set 和初始快照。不能把子作业提交全当外部请求。</t>
  </si>
  <si>
    <t>官方：2019年5月31天、8个cell；微秒时间戳。本次完整处理cell a作业事件分片；从600秒起分析。</t>
  </si>
  <si>
    <t>cell a：25分片，20,807,441条事件；有效job 4,713,501，其中无已记录父作业1,649,039。压缩821.57 MB。</t>
  </si>
  <si>
    <t>Parquet（文件后缀 .parquet.gz，实际直接读取 Parquet）；也发布 JSON</t>
  </si>
  <si>
    <t>Azure Functions Trace</t>
  </si>
  <si>
    <t>2019 / revision 2</t>
  </si>
  <si>
    <t>条件适合：预测函数调用计数。计数在执行后记录，非原始外部到达；Trigger不是业务标签。</t>
  </si>
  <si>
    <t>一次任务=一次函数调用；按匿名函数键或Trigger分组。原始数据已给每分钟次数，无逐请求到达时间。</t>
  </si>
  <si>
    <t>2019年7月内14个24小时文件；1分钟计数。具体日历起点未给出；不要推算真实日期或秒级到达。</t>
  </si>
  <si>
    <t>72,359个不同函数键；14天共12,495,810,846次调用；7组Trigger。完整压缩包142.97 MB。</t>
  </si>
  <si>
    <t>有表头 CSV；tar.xz</t>
  </si>
  <si>
    <t>待调研</t>
  </si>
  <si>
    <t>Azure Functions Invocation Trace</t>
  </si>
  <si>
    <t>逐次云函数调用记录；核查时间定义</t>
  </si>
  <si>
    <t>Huawei Public Cloud Serverless Trace</t>
  </si>
  <si>
    <t>2023发布／公有云</t>
  </si>
  <si>
    <t>云函数调用数量</t>
  </si>
  <si>
    <t>CSV</t>
  </si>
  <si>
    <t>Huawei Private Cloud Serverless Trace</t>
  </si>
  <si>
    <t>2023发布／私有云</t>
  </si>
  <si>
    <t>云函数秒级、分钟级调用数量</t>
  </si>
  <si>
    <t>Huawei Public Cloud Cold Start Traces</t>
  </si>
  <si>
    <t>2025发布</t>
  </si>
  <si>
    <t>云函数请求与冷启动</t>
  </si>
  <si>
    <t>BurstGPT</t>
  </si>
  <si>
    <t>子集待核实</t>
  </si>
  <si>
    <t>ChatGPT／GPT-4服务请求</t>
  </si>
  <si>
    <t>Azure LLM Inference Trace</t>
  </si>
  <si>
    <t>大语言模型推理请求（Splitwise）</t>
  </si>
  <si>
    <t>大语言模型推理请求（DynamoLLM）</t>
  </si>
  <si>
    <t>Azure LMM Inference Trace</t>
  </si>
  <si>
    <t>2025发布／2024采集</t>
  </si>
  <si>
    <t>多模态模型推理请求</t>
  </si>
  <si>
    <t>Azure VM Trace</t>
  </si>
  <si>
    <t>V1／2017</t>
  </si>
  <si>
    <t>虚拟机创建与生命周期</t>
  </si>
  <si>
    <t>V2／2019</t>
  </si>
  <si>
    <t>Azure Traces for Packing</t>
  </si>
  <si>
    <t>虚拟机资源申请</t>
  </si>
  <si>
    <t>高性能计算作业日志</t>
  </si>
  <si>
    <t>NASA iPSC</t>
  </si>
  <si>
    <t>1993起／文件版本待核实</t>
  </si>
  <si>
    <t>并行／高性能计算作业；核查应用类型字段</t>
  </si>
  <si>
    <t>SWF</t>
  </si>
  <si>
    <t>LANL CM5</t>
  </si>
  <si>
    <t>1994起／文件版本待核实</t>
  </si>
  <si>
    <t>SDSC Par95</t>
  </si>
  <si>
    <t>1995起／文件版本待核实</t>
  </si>
  <si>
    <t>SDSC Par96</t>
  </si>
  <si>
    <t>1996起／文件版本待核实</t>
  </si>
  <si>
    <t>CTC SP2</t>
  </si>
  <si>
    <t>KTH SP2</t>
  </si>
  <si>
    <t>SDSC SP2</t>
  </si>
  <si>
    <t>1998起／文件版本待核实</t>
  </si>
  <si>
    <t>LANL O2K</t>
  </si>
  <si>
    <t>1999起／文件版本待核实</t>
  </si>
  <si>
    <t>OSC Cluster</t>
  </si>
  <si>
    <t>2000起／文件版本待核实</t>
  </si>
  <si>
    <t>SDSC BLUE</t>
  </si>
  <si>
    <t>Sandia Ross</t>
  </si>
  <si>
    <t>2001起／文件版本待核实</t>
  </si>
  <si>
    <t>HPC2N</t>
  </si>
  <si>
    <t>2002起／文件版本待核实</t>
  </si>
  <si>
    <t>SDSC DataStar</t>
  </si>
  <si>
    <t>2004起／文件版本待核实</t>
  </si>
  <si>
    <t>LLNL Atlas</t>
  </si>
  <si>
    <t>2006起／文件版本待核实</t>
  </si>
  <si>
    <t>LLNL Thunder</t>
  </si>
  <si>
    <t>2007起／文件版本待核实</t>
  </si>
  <si>
    <t>ANL Intrepid</t>
  </si>
  <si>
    <t>2009起／文件版本待核实</t>
  </si>
  <si>
    <t>RICC</t>
  </si>
  <si>
    <t>2010起／文件版本待核实</t>
  </si>
  <si>
    <t>CEA CURIE</t>
  </si>
  <si>
    <t>2011起／文件版本待核实</t>
  </si>
  <si>
    <t>UniLu Gaia</t>
  </si>
  <si>
    <t>2014起／文件版本待核实</t>
  </si>
  <si>
    <t>KIT FH2</t>
  </si>
  <si>
    <t>2016起／文件版本待核实</t>
  </si>
  <si>
    <t>网格计算作业日志</t>
  </si>
  <si>
    <t>DAS2</t>
  </si>
  <si>
    <t>GWA-T-1</t>
  </si>
  <si>
    <t>网格计算作业；核查类型字段及来源重叠</t>
  </si>
  <si>
    <t>GWF</t>
  </si>
  <si>
    <t>Grid5000</t>
  </si>
  <si>
    <t>GWA-T-2</t>
  </si>
  <si>
    <t>NorduGrid</t>
  </si>
  <si>
    <t>GWA-T-3</t>
  </si>
  <si>
    <t>AuverGrid</t>
  </si>
  <si>
    <t>GWA-T-4</t>
  </si>
  <si>
    <t>NGS</t>
  </si>
  <si>
    <t>GWA-T-5</t>
  </si>
  <si>
    <t>LCG</t>
  </si>
  <si>
    <t>GWA-T-6</t>
  </si>
  <si>
    <t>GLOW</t>
  </si>
  <si>
    <t>GWA-T-7</t>
  </si>
  <si>
    <t>GRID3</t>
  </si>
  <si>
    <t>GWA-T-8</t>
  </si>
  <si>
    <t>TeraGrid</t>
  </si>
  <si>
    <t>GWA-T-9</t>
  </si>
  <si>
    <t>SHARCNet</t>
  </si>
  <si>
    <t>GWA-T-10</t>
  </si>
  <si>
    <t>GWA-T-11</t>
  </si>
  <si>
    <t>补充候选（到达信息待核实）</t>
  </si>
  <si>
    <t>Alibaba Cluster Trace</t>
  </si>
  <si>
    <t>在线服务与批作业；核查提交时间</t>
  </si>
  <si>
    <t>DAG批作业；区分提交与子任务启动</t>
  </si>
  <si>
    <t>Alibaba Microservices Trace</t>
  </si>
  <si>
    <t>微服务调用；区分外部请求与内部调用</t>
  </si>
  <si>
    <t>GPU工作负载；核查是否保留到达时序</t>
  </si>
  <si>
    <t>AI集群；核查能否恢复按类型到达序列</t>
  </si>
  <si>
    <t>Alibaba GenTD26</t>
  </si>
  <si>
    <t>图像生成服务；核查请求时间与类型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</si>
</sst>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name val="Microsoft YaHei"/>
      <charset val="134"/>
    </font>
    <font>
      <b/>
      <sz val="10"/>
      <name val="Microsoft YaHei"/>
      <charset val="134"/>
    </font>
    <font>
      <sz val="10"/>
      <color rgb="FFC00000"/>
      <name val="Microsoft YaHei"/>
      <charset val="134"/>
    </font>
    <font>
      <sz val="12"/>
      <name val="Microsoft YaHei"/>
      <charset val="134"/>
    </font>
    <font>
      <b/>
      <sz val="12"/>
      <name val="Microsoft YaHei"/>
      <charset val="134"/>
    </font>
    <font>
      <sz val="9"/>
      <color rgb="FFC00000"/>
      <name val="Microsoft YaHei"/>
      <charset val="134"/>
    </font>
    <font>
      <sz val="12"/>
      <color rgb="FFC00000"/>
      <name val="Microsoft YaHei"/>
      <charset val="134"/>
    </font>
    <font>
      <sz val="9"/>
      <name val="Microsoft YaHei"/>
      <charset val="134"/>
    </font>
    <font>
      <sz val="12"/>
      <color rgb="FF0563C1"/>
      <name val="Microsoft YaHei"/>
      <charset val="134"/>
    </font>
    <font>
      <sz val="11"/>
      <color rgb="FF0000FF"/>
      <name val="Calibri"/>
      <charset val="134"/>
    </font>
    <font>
      <sz val="10"/>
      <color rgb="FF0563C1"/>
      <name val="Microsoft YaHei"/>
      <charset val="134"/>
    </font>
    <font>
      <sz val="11"/>
      <color theme="1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NumberFormat="1" applyFont="1" applyFill="1" applyBorder="1" applyAlignment="1">
      <alignment vertical="center" wrapText="1"/>
    </xf>
    <xf numFmtId="0" fontId="3" fillId="0" borderId="5" xfId="0" applyNumberFormat="1" applyFont="1" applyFill="1" applyBorder="1" applyAlignment="1">
      <alignment vertical="center" wrapText="1"/>
    </xf>
    <xf numFmtId="0" fontId="9" fillId="0" borderId="1" xfId="6" applyNumberForma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6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 wrapText="1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liopentrace.oss-cn-beijing.aliyuncs.com/v2020GPUTraces/pai_job_table.tar.gz" TargetMode="External"/><Relationship Id="rId1" Type="http://schemas.openxmlformats.org/officeDocument/2006/relationships/hyperlink" Target="https://github.com/alibaba/clusterdata/tree/master/cluster-trace-gpu-v2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00"/>
  <sheetViews>
    <sheetView tabSelected="1" topLeftCell="A4" workbookViewId="0">
      <selection activeCell="F6" sqref="F6"/>
    </sheetView>
  </sheetViews>
  <sheetFormatPr defaultColWidth="14" defaultRowHeight="17.4"/>
  <cols>
    <col min="1" max="1" width="11.7333333333333" style="3" customWidth="1"/>
    <col min="2" max="2" width="13.625" style="3" customWidth="1"/>
    <col min="3" max="4" width="28.8666666666667" style="3" customWidth="1"/>
    <col min="5" max="5" width="13.675" style="3"/>
    <col min="6" max="6" width="19.9583333333333" style="4" customWidth="1"/>
    <col min="7" max="7" width="29.4" style="3" customWidth="1"/>
    <col min="8" max="8" width="29.5416666666667" style="3" customWidth="1"/>
    <col min="9" max="9" width="23.0666666666667" style="3" customWidth="1"/>
    <col min="10" max="10" width="17.1333333333333" style="3" customWidth="1"/>
    <col min="11" max="11" width="32.775" style="3" customWidth="1"/>
    <col min="12" max="12" width="20.6333333333333" style="3" customWidth="1"/>
    <col min="13" max="32" width="13.675" style="3"/>
  </cols>
  <sheetData>
    <row r="1" s="1" customFormat="1" ht="45" customHeight="1" spans="1:3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8" t="s">
        <v>12</v>
      </c>
      <c r="O1" s="8" t="s">
        <v>12</v>
      </c>
      <c r="P1" s="8" t="s">
        <v>12</v>
      </c>
      <c r="Q1" s="8" t="s">
        <v>12</v>
      </c>
      <c r="R1" s="8" t="s">
        <v>12</v>
      </c>
      <c r="S1" s="8" t="s">
        <v>12</v>
      </c>
      <c r="T1" s="8" t="s">
        <v>12</v>
      </c>
      <c r="U1" s="8" t="s">
        <v>12</v>
      </c>
      <c r="V1" s="8" t="s">
        <v>12</v>
      </c>
      <c r="W1" s="8" t="s">
        <v>12</v>
      </c>
      <c r="X1" s="8" t="s">
        <v>12</v>
      </c>
      <c r="Y1" s="8" t="s">
        <v>12</v>
      </c>
      <c r="Z1" s="8" t="s">
        <v>12</v>
      </c>
      <c r="AA1" s="8" t="s">
        <v>12</v>
      </c>
      <c r="AB1" s="8" t="s">
        <v>12</v>
      </c>
      <c r="AC1" s="8" t="s">
        <v>12</v>
      </c>
      <c r="AD1" s="8" t="s">
        <v>12</v>
      </c>
      <c r="AE1" s="8" t="s">
        <v>12</v>
      </c>
      <c r="AF1" s="8" t="s">
        <v>12</v>
      </c>
    </row>
    <row r="2" s="2" customFormat="1" ht="57.75" customHeight="1" spans="1:32">
      <c r="A2" s="9" t="s">
        <v>13</v>
      </c>
      <c r="B2" s="9" t="s">
        <v>13</v>
      </c>
      <c r="C2" s="10" t="s">
        <v>13</v>
      </c>
      <c r="D2" s="10" t="s">
        <v>14</v>
      </c>
      <c r="E2" s="11" t="s">
        <v>15</v>
      </c>
      <c r="F2" s="10" t="s">
        <v>16</v>
      </c>
      <c r="G2" s="12" t="s">
        <v>17</v>
      </c>
      <c r="H2" s="10" t="s">
        <v>18</v>
      </c>
      <c r="I2" s="10" t="s">
        <v>19</v>
      </c>
      <c r="J2" s="10" t="s">
        <v>20</v>
      </c>
      <c r="K2" s="10" t="s">
        <v>21</v>
      </c>
      <c r="L2" s="10" t="s">
        <v>22</v>
      </c>
      <c r="M2" s="13" t="s">
        <v>12</v>
      </c>
      <c r="N2" s="13" t="s">
        <v>12</v>
      </c>
      <c r="O2" s="13" t="s">
        <v>12</v>
      </c>
      <c r="P2" s="13" t="s">
        <v>12</v>
      </c>
      <c r="Q2" s="13" t="s">
        <v>12</v>
      </c>
      <c r="R2" s="13" t="s">
        <v>12</v>
      </c>
      <c r="S2" s="13" t="s">
        <v>12</v>
      </c>
      <c r="T2" s="13" t="s">
        <v>12</v>
      </c>
      <c r="U2" s="13" t="s">
        <v>12</v>
      </c>
      <c r="V2" s="13" t="s">
        <v>12</v>
      </c>
      <c r="W2" s="13" t="s">
        <v>12</v>
      </c>
      <c r="X2" s="13" t="s">
        <v>12</v>
      </c>
      <c r="Y2" s="13" t="s">
        <v>12</v>
      </c>
      <c r="Z2" s="13" t="s">
        <v>12</v>
      </c>
      <c r="AA2" s="13" t="s">
        <v>12</v>
      </c>
      <c r="AB2" s="13" t="s">
        <v>12</v>
      </c>
      <c r="AC2" s="13" t="s">
        <v>12</v>
      </c>
      <c r="AD2" s="13" t="s">
        <v>12</v>
      </c>
      <c r="AE2" s="13" t="s">
        <v>12</v>
      </c>
      <c r="AF2" s="13" t="s">
        <v>12</v>
      </c>
    </row>
    <row r="3" ht="165" customHeight="1" spans="1:32">
      <c r="A3" s="14" t="s">
        <v>13</v>
      </c>
      <c r="B3" s="15" t="s">
        <v>23</v>
      </c>
      <c r="C3" s="16" t="s">
        <v>24</v>
      </c>
      <c r="D3" s="17" t="s">
        <v>25</v>
      </c>
      <c r="E3" s="18" t="s">
        <v>26</v>
      </c>
      <c r="F3" s="19" t="s">
        <v>27</v>
      </c>
      <c r="G3" s="20" t="s">
        <v>28</v>
      </c>
      <c r="H3" s="17" t="s">
        <v>29</v>
      </c>
      <c r="I3" s="17" t="s">
        <v>30</v>
      </c>
      <c r="J3" s="17" t="s">
        <v>31</v>
      </c>
      <c r="K3" s="21" t="str">
        <f>HYPERLINK("https://github.com/alibaba/clusterdata/tree/master/cluster-trace-gpu-v2020","官方说明与字段定义")</f>
        <v>官方说明与字段定义</v>
      </c>
      <c r="L3" s="21" t="str">
        <f>HYPERLINK("https://aliopentrace.oss-cn-beijing.aliyuncs.com/v2020GPUTraces/pai_job_table.tar.gz","作业表（标签表见说明）")</f>
        <v>作业表（标签表见说明）</v>
      </c>
    </row>
    <row r="4" ht="165" customHeight="1" spans="1:32">
      <c r="A4" s="22"/>
      <c r="B4" s="23" t="s">
        <v>23</v>
      </c>
      <c r="C4" s="24" t="s">
        <v>24</v>
      </c>
      <c r="D4" s="17" t="s">
        <v>32</v>
      </c>
      <c r="E4" s="18" t="s">
        <v>33</v>
      </c>
      <c r="F4" s="19" t="s">
        <v>34</v>
      </c>
      <c r="G4" s="20" t="s">
        <v>35</v>
      </c>
      <c r="H4" s="17" t="s">
        <v>36</v>
      </c>
      <c r="I4" s="17" t="s">
        <v>37</v>
      </c>
      <c r="J4" s="17" t="s">
        <v>38</v>
      </c>
      <c r="K4" s="25" t="str">
        <f>HYPERLINK("https://github.com/msr-fiddle/philly-traces","官方说明与字段定义")</f>
        <v>官方说明与字段定义</v>
      </c>
      <c r="L4" s="25" t="str">
        <f>HYPERLINK("https://media.githubusercontent.com/media/msr-fiddle/philly-traces/master/trace-data.tar.gz","原始压缩包（提取job log）")</f>
        <v>原始压缩包（提取job log）</v>
      </c>
    </row>
    <row r="5" ht="165" customHeight="1" spans="1:32">
      <c r="A5" s="22"/>
      <c r="B5" s="23" t="s">
        <v>23</v>
      </c>
      <c r="C5" s="24" t="s">
        <v>24</v>
      </c>
      <c r="D5" s="17" t="s">
        <v>39</v>
      </c>
      <c r="E5" s="18" t="s">
        <v>40</v>
      </c>
      <c r="F5" s="19" t="s">
        <v>41</v>
      </c>
      <c r="G5" s="20" t="s">
        <v>42</v>
      </c>
      <c r="H5" s="17" t="s">
        <v>43</v>
      </c>
      <c r="I5" s="17" t="s">
        <v>44</v>
      </c>
      <c r="J5" s="17" t="s">
        <v>45</v>
      </c>
      <c r="K5" s="25" t="str">
        <f>HYPERLINK("https://github.com/google/cluster-data/blob/master/ClusterData2011_2.md","官方说明与字段定义")</f>
        <v>官方说明与字段定义</v>
      </c>
      <c r="L5" s="25" t="str">
        <f>HYPERLINK("https://storage.googleapis.com/storage/v1/b/clusterdata-2011-2/o?prefix=job_events/&amp;maxResults=1000","job_events 分片目录")</f>
        <v>job_events 分片目录</v>
      </c>
    </row>
    <row r="6" ht="165" customHeight="1" spans="1:32">
      <c r="A6" s="22"/>
      <c r="B6" s="23" t="s">
        <v>46</v>
      </c>
      <c r="C6" s="24" t="s">
        <v>24</v>
      </c>
      <c r="D6" s="17" t="s">
        <v>39</v>
      </c>
      <c r="E6" s="18" t="s">
        <v>47</v>
      </c>
      <c r="F6" s="19" t="s">
        <v>48</v>
      </c>
      <c r="G6" s="20" t="s">
        <v>49</v>
      </c>
      <c r="H6" s="17" t="s">
        <v>50</v>
      </c>
      <c r="I6" s="17" t="s">
        <v>51</v>
      </c>
      <c r="J6" s="17" t="s">
        <v>52</v>
      </c>
      <c r="K6" s="25" t="str">
        <f>HYPERLINK("https://github.com/google/cluster-data/blob/master/ClusterData2019.md","官方说明与字段定义")</f>
        <v>官方说明与字段定义</v>
      </c>
      <c r="L6" s="25" t="str">
        <f>HYPERLINK("https://storage.googleapis.com/storage/v1/b/clusterdata_2019_a/o?prefix=collection_events&amp;maxResults=1000","cell a 作业事件分片目录")</f>
        <v>cell a 作业事件分片目录</v>
      </c>
    </row>
    <row r="7" ht="165" customHeight="1" spans="1:32">
      <c r="A7" s="22"/>
      <c r="B7" s="23" t="s">
        <v>23</v>
      </c>
      <c r="C7" s="24" t="s">
        <v>24</v>
      </c>
      <c r="D7" s="17" t="s">
        <v>53</v>
      </c>
      <c r="E7" s="18" t="s">
        <v>54</v>
      </c>
      <c r="F7" s="19" t="s">
        <v>55</v>
      </c>
      <c r="G7" s="20" t="s">
        <v>56</v>
      </c>
      <c r="H7" s="17" t="s">
        <v>57</v>
      </c>
      <c r="I7" s="17" t="s">
        <v>58</v>
      </c>
      <c r="J7" s="17" t="s">
        <v>59</v>
      </c>
      <c r="K7" s="25" t="str">
        <f>HYPERLINK("https://github.com/Azure/AzurePublicDataset/blob/master/AzureFunctionsDataset2019.md","官方说明与字段定义")</f>
        <v>官方说明与字段定义</v>
      </c>
      <c r="L7" s="25" t="str">
        <f>HYPERLINK("https://github.com/Azure/AzurePublicDataset/releases/download/dataset-functions-2019/azurefunctions_dataset2019_azurefunctions-dataset2019.tar.xz","完整数据压缩包")</f>
        <v>完整数据压缩包</v>
      </c>
    </row>
    <row r="8" ht="60" customHeight="1" spans="1:32">
      <c r="A8" s="22"/>
      <c r="B8" s="22" t="s">
        <v>60</v>
      </c>
      <c r="C8" s="26" t="s">
        <v>24</v>
      </c>
      <c r="D8" s="27" t="s">
        <v>61</v>
      </c>
      <c r="E8" s="28">
        <v>2021</v>
      </c>
      <c r="F8" s="19"/>
      <c r="G8" s="29" t="s">
        <v>62</v>
      </c>
      <c r="H8" s="27"/>
      <c r="I8" s="27"/>
      <c r="J8" s="27"/>
      <c r="K8" s="30" t="str">
        <f>HYPERLINK("https://github.com/Azure/AzurePublicDataset/blob/master/AzureFunctionsInvocationTrace2021.md","官方介绍 / 数据目录")</f>
        <v>官方介绍 / 数据目录</v>
      </c>
      <c r="L8" s="27"/>
    </row>
    <row r="9" ht="60" customHeight="1" spans="1:32">
      <c r="A9" s="22"/>
      <c r="B9" s="22" t="s">
        <v>60</v>
      </c>
      <c r="C9" s="26" t="s">
        <v>24</v>
      </c>
      <c r="D9" s="27" t="s">
        <v>63</v>
      </c>
      <c r="E9" s="28" t="s">
        <v>64</v>
      </c>
      <c r="F9" s="19"/>
      <c r="G9" s="29" t="s">
        <v>65</v>
      </c>
      <c r="H9" s="27"/>
      <c r="I9" s="27"/>
      <c r="J9" s="27" t="s">
        <v>66</v>
      </c>
      <c r="K9" s="31" t="str">
        <f>HYPERLINK("https://github.com/sir-lab/data-release/blob/main/README_data_release_2023.md","官方介绍 / 数据目录")</f>
        <v>官方介绍 / 数据目录</v>
      </c>
      <c r="L9" s="27"/>
    </row>
    <row r="10" ht="60" customHeight="1" spans="1:32">
      <c r="A10" s="22"/>
      <c r="B10" s="22" t="s">
        <v>60</v>
      </c>
      <c r="C10" s="26" t="s">
        <v>24</v>
      </c>
      <c r="D10" s="27" t="s">
        <v>67</v>
      </c>
      <c r="E10" s="28" t="s">
        <v>68</v>
      </c>
      <c r="F10" s="19"/>
      <c r="G10" s="29" t="s">
        <v>69</v>
      </c>
      <c r="H10" s="27"/>
      <c r="I10" s="27"/>
      <c r="J10" s="27" t="s">
        <v>66</v>
      </c>
      <c r="K10" s="30" t="str">
        <f>HYPERLINK("https://github.com/sir-lab/data-release/blob/main/README_data_release_2023.md","官方介绍 / 数据目录")</f>
        <v>官方介绍 / 数据目录</v>
      </c>
      <c r="L10" s="27"/>
    </row>
    <row r="11" ht="60" customHeight="1" spans="1:32">
      <c r="A11" s="22"/>
      <c r="B11" s="22" t="s">
        <v>60</v>
      </c>
      <c r="C11" s="32" t="s">
        <v>24</v>
      </c>
      <c r="D11" s="27" t="s">
        <v>70</v>
      </c>
      <c r="E11" s="28" t="s">
        <v>71</v>
      </c>
      <c r="F11" s="19"/>
      <c r="G11" s="29" t="s">
        <v>72</v>
      </c>
      <c r="H11" s="27"/>
      <c r="I11" s="27"/>
      <c r="J11" s="27"/>
      <c r="K11" s="30" t="str">
        <f>HYPERLINK("https://github.com/sir-lab/data-release/blob/main/README_data_release_2025.md","官方介绍 / 数据目录")</f>
        <v>官方介绍 / 数据目录</v>
      </c>
      <c r="L11" s="27"/>
    </row>
    <row r="12" ht="60" customHeight="1" spans="1:32">
      <c r="A12" s="22"/>
      <c r="B12" s="22" t="s">
        <v>60</v>
      </c>
      <c r="C12" s="27" t="s">
        <v>24</v>
      </c>
      <c r="D12" s="27" t="s">
        <v>73</v>
      </c>
      <c r="E12" s="28" t="s">
        <v>74</v>
      </c>
      <c r="F12" s="19"/>
      <c r="G12" s="29" t="s">
        <v>75</v>
      </c>
      <c r="H12" s="27"/>
      <c r="I12" s="27"/>
      <c r="J12" s="27"/>
      <c r="K12" s="30" t="str">
        <f>HYPERLINK("https://github.com/HPMLL/BurstGPT","官方介绍 / 数据目录")</f>
        <v>官方介绍 / 数据目录</v>
      </c>
      <c r="L12" s="27"/>
    </row>
    <row r="13" ht="60" customHeight="1" spans="1:32">
      <c r="A13" s="22"/>
      <c r="B13" s="22" t="s">
        <v>60</v>
      </c>
      <c r="C13" s="27" t="s">
        <v>24</v>
      </c>
      <c r="D13" s="27" t="s">
        <v>76</v>
      </c>
      <c r="E13" s="28">
        <v>2023</v>
      </c>
      <c r="F13" s="19"/>
      <c r="G13" s="29" t="s">
        <v>77</v>
      </c>
      <c r="H13" s="27"/>
      <c r="I13" s="27"/>
      <c r="J13" s="27" t="s">
        <v>66</v>
      </c>
      <c r="K13" s="30" t="str">
        <f>HYPERLINK("https://github.com/Azure/AzurePublicDataset/blob/master/AzureLLMInferenceDataset2023.md","官方介绍 / 数据目录")</f>
        <v>官方介绍 / 数据目录</v>
      </c>
      <c r="L13" s="27"/>
    </row>
    <row r="14" ht="60" customHeight="1" spans="1:32">
      <c r="A14" s="22"/>
      <c r="B14" s="22" t="s">
        <v>60</v>
      </c>
      <c r="C14" s="27" t="s">
        <v>24</v>
      </c>
      <c r="D14" s="27" t="s">
        <v>76</v>
      </c>
      <c r="E14" s="28">
        <v>2024</v>
      </c>
      <c r="F14" s="19"/>
      <c r="G14" s="29" t="s">
        <v>78</v>
      </c>
      <c r="H14" s="27"/>
      <c r="I14" s="27"/>
      <c r="J14" s="27" t="s">
        <v>66</v>
      </c>
      <c r="K14" s="30" t="str">
        <f>HYPERLINK("https://github.com/Azure/AzurePublicDataset/blob/master/AzureLLMInferenceDataset2024.md","官方介绍 / 数据目录")</f>
        <v>官方介绍 / 数据目录</v>
      </c>
      <c r="L14" s="27"/>
    </row>
    <row r="15" ht="60" customHeight="1" spans="1:32">
      <c r="A15" s="22"/>
      <c r="B15" s="22" t="s">
        <v>60</v>
      </c>
      <c r="C15" s="27" t="s">
        <v>24</v>
      </c>
      <c r="D15" s="27" t="s">
        <v>79</v>
      </c>
      <c r="E15" s="28" t="s">
        <v>80</v>
      </c>
      <c r="F15" s="19"/>
      <c r="G15" s="29" t="s">
        <v>81</v>
      </c>
      <c r="H15" s="27"/>
      <c r="I15" s="27"/>
      <c r="J15" s="27"/>
      <c r="K15" s="30" t="str">
        <f>HYPERLINK("https://github.com/Azure/AzurePublicDataset/blob/master/AzureLMMInferenceDataset2025.md","官方介绍 / 数据目录")</f>
        <v>官方介绍 / 数据目录</v>
      </c>
      <c r="L15" s="27"/>
    </row>
    <row r="16" ht="60" customHeight="1" spans="1:32">
      <c r="A16" s="22"/>
      <c r="B16" s="22" t="s">
        <v>60</v>
      </c>
      <c r="C16" s="27" t="s">
        <v>24</v>
      </c>
      <c r="D16" s="27" t="s">
        <v>82</v>
      </c>
      <c r="E16" s="28" t="s">
        <v>83</v>
      </c>
      <c r="F16" s="19"/>
      <c r="G16" s="29" t="s">
        <v>84</v>
      </c>
      <c r="H16" s="27"/>
      <c r="I16" s="27"/>
      <c r="J16" s="27"/>
      <c r="K16" s="30" t="str">
        <f>HYPERLINK("https://github.com/Azure/AzurePublicDataset/blob/master/AzurePublicDatasetV1.md","官方介绍 / 数据目录")</f>
        <v>官方介绍 / 数据目录</v>
      </c>
      <c r="L16" s="27"/>
    </row>
    <row r="17" ht="60" customHeight="1" spans="1:12">
      <c r="A17" s="22"/>
      <c r="B17" s="22" t="s">
        <v>60</v>
      </c>
      <c r="C17" s="27" t="s">
        <v>24</v>
      </c>
      <c r="D17" s="27" t="s">
        <v>82</v>
      </c>
      <c r="E17" s="28" t="s">
        <v>85</v>
      </c>
      <c r="F17" s="19"/>
      <c r="G17" s="29" t="s">
        <v>84</v>
      </c>
      <c r="H17" s="27"/>
      <c r="I17" s="27"/>
      <c r="J17" s="27"/>
      <c r="K17" s="30" t="str">
        <f>HYPERLINK("https://github.com/Azure/AzurePublicDataset/blob/master/AzurePublicDatasetV2.md","官方介绍 / 数据目录")</f>
        <v>官方介绍 / 数据目录</v>
      </c>
      <c r="L17" s="27"/>
    </row>
    <row r="18" ht="60" customHeight="1" spans="1:12">
      <c r="A18" s="22"/>
      <c r="B18" s="22" t="s">
        <v>60</v>
      </c>
      <c r="C18" s="27" t="s">
        <v>24</v>
      </c>
      <c r="D18" s="27" t="s">
        <v>86</v>
      </c>
      <c r="E18" s="28">
        <v>2020</v>
      </c>
      <c r="F18" s="19"/>
      <c r="G18" s="29" t="s">
        <v>87</v>
      </c>
      <c r="H18" s="27"/>
      <c r="I18" s="27"/>
      <c r="J18" s="27"/>
      <c r="K18" s="30" t="str">
        <f>HYPERLINK("https://github.com/Azure/AzurePublicDataset/blob/master/AzureTracesForPacking2020.md","官方介绍 / 数据目录")</f>
        <v>官方介绍 / 数据目录</v>
      </c>
      <c r="L18" s="27"/>
    </row>
    <row r="19" ht="60" customHeight="1" spans="1:12">
      <c r="A19" s="22"/>
      <c r="B19" s="22" t="s">
        <v>60</v>
      </c>
      <c r="C19" s="27" t="s">
        <v>88</v>
      </c>
      <c r="D19" s="27" t="s">
        <v>89</v>
      </c>
      <c r="E19" s="28" t="s">
        <v>90</v>
      </c>
      <c r="F19" s="19"/>
      <c r="G19" s="29" t="s">
        <v>91</v>
      </c>
      <c r="H19" s="27"/>
      <c r="I19" s="27"/>
      <c r="J19" s="27" t="s">
        <v>92</v>
      </c>
      <c r="K19" s="30" t="str">
        <f t="shared" ref="K19:K38" si="0">HYPERLINK("https://www.cs.huji.ac.il/labs/parallel/workload/logs.html","官方介绍 / 数据目录")</f>
        <v>官方介绍 / 数据目录</v>
      </c>
      <c r="L19" s="27"/>
    </row>
    <row r="20" ht="60" customHeight="1" spans="1:12">
      <c r="A20" s="22"/>
      <c r="B20" s="22" t="s">
        <v>60</v>
      </c>
      <c r="C20" s="27" t="s">
        <v>88</v>
      </c>
      <c r="D20" s="27" t="s">
        <v>93</v>
      </c>
      <c r="E20" s="28" t="s">
        <v>94</v>
      </c>
      <c r="F20" s="19"/>
      <c r="G20" s="29" t="s">
        <v>91</v>
      </c>
      <c r="H20" s="27"/>
      <c r="I20" s="27"/>
      <c r="J20" s="27" t="s">
        <v>92</v>
      </c>
      <c r="K20" s="30" t="str">
        <f t="shared" si="0"/>
        <v>官方介绍 / 数据目录</v>
      </c>
      <c r="L20" s="27"/>
    </row>
    <row r="21" ht="60" customHeight="1" spans="1:12">
      <c r="A21" s="22"/>
      <c r="B21" s="22" t="s">
        <v>60</v>
      </c>
      <c r="C21" s="27" t="s">
        <v>88</v>
      </c>
      <c r="D21" s="27" t="s">
        <v>95</v>
      </c>
      <c r="E21" s="28" t="s">
        <v>96</v>
      </c>
      <c r="F21" s="19"/>
      <c r="G21" s="29" t="s">
        <v>91</v>
      </c>
      <c r="H21" s="27"/>
      <c r="I21" s="27"/>
      <c r="J21" s="27" t="s">
        <v>92</v>
      </c>
      <c r="K21" s="30" t="str">
        <f t="shared" si="0"/>
        <v>官方介绍 / 数据目录</v>
      </c>
      <c r="L21" s="27"/>
    </row>
    <row r="22" ht="60" customHeight="1" spans="1:12">
      <c r="A22" s="22"/>
      <c r="B22" s="22" t="s">
        <v>60</v>
      </c>
      <c r="C22" s="27" t="s">
        <v>88</v>
      </c>
      <c r="D22" s="27" t="s">
        <v>97</v>
      </c>
      <c r="E22" s="28" t="s">
        <v>98</v>
      </c>
      <c r="F22" s="19"/>
      <c r="G22" s="29" t="s">
        <v>91</v>
      </c>
      <c r="H22" s="27"/>
      <c r="I22" s="27"/>
      <c r="J22" s="27" t="s">
        <v>92</v>
      </c>
      <c r="K22" s="30" t="str">
        <f t="shared" si="0"/>
        <v>官方介绍 / 数据目录</v>
      </c>
      <c r="L22" s="27"/>
    </row>
    <row r="23" ht="60" customHeight="1" spans="1:12">
      <c r="A23" s="22"/>
      <c r="B23" s="22" t="s">
        <v>60</v>
      </c>
      <c r="C23" s="27" t="s">
        <v>88</v>
      </c>
      <c r="D23" s="27" t="s">
        <v>99</v>
      </c>
      <c r="E23" s="28" t="s">
        <v>98</v>
      </c>
      <c r="F23" s="19"/>
      <c r="G23" s="29" t="s">
        <v>91</v>
      </c>
      <c r="H23" s="27"/>
      <c r="I23" s="27"/>
      <c r="J23" s="27" t="s">
        <v>92</v>
      </c>
      <c r="K23" s="30" t="str">
        <f t="shared" si="0"/>
        <v>官方介绍 / 数据目录</v>
      </c>
      <c r="L23" s="27"/>
    </row>
    <row r="24" ht="60" customHeight="1" spans="1:12">
      <c r="A24" s="22"/>
      <c r="B24" s="22" t="s">
        <v>60</v>
      </c>
      <c r="C24" s="27" t="s">
        <v>88</v>
      </c>
      <c r="D24" s="27" t="s">
        <v>100</v>
      </c>
      <c r="E24" s="28" t="s">
        <v>98</v>
      </c>
      <c r="F24" s="19"/>
      <c r="G24" s="29" t="s">
        <v>91</v>
      </c>
      <c r="H24" s="27"/>
      <c r="I24" s="27"/>
      <c r="J24" s="27" t="s">
        <v>92</v>
      </c>
      <c r="K24" s="30" t="str">
        <f t="shared" si="0"/>
        <v>官方介绍 / 数据目录</v>
      </c>
      <c r="L24" s="27"/>
    </row>
    <row r="25" ht="60" customHeight="1" spans="1:12">
      <c r="A25" s="22"/>
      <c r="B25" s="22" t="s">
        <v>60</v>
      </c>
      <c r="C25" s="27" t="s">
        <v>88</v>
      </c>
      <c r="D25" s="27" t="s">
        <v>101</v>
      </c>
      <c r="E25" s="28" t="s">
        <v>102</v>
      </c>
      <c r="F25" s="19"/>
      <c r="G25" s="29" t="s">
        <v>91</v>
      </c>
      <c r="H25" s="27"/>
      <c r="I25" s="27"/>
      <c r="J25" s="27" t="s">
        <v>92</v>
      </c>
      <c r="K25" s="30" t="str">
        <f t="shared" si="0"/>
        <v>官方介绍 / 数据目录</v>
      </c>
      <c r="L25" s="27"/>
    </row>
    <row r="26" ht="60" customHeight="1" spans="1:12">
      <c r="A26" s="22"/>
      <c r="B26" s="22" t="s">
        <v>60</v>
      </c>
      <c r="C26" s="27" t="s">
        <v>88</v>
      </c>
      <c r="D26" s="27" t="s">
        <v>103</v>
      </c>
      <c r="E26" s="28" t="s">
        <v>104</v>
      </c>
      <c r="F26" s="19"/>
      <c r="G26" s="29" t="s">
        <v>91</v>
      </c>
      <c r="H26" s="27"/>
      <c r="I26" s="27"/>
      <c r="J26" s="27" t="s">
        <v>92</v>
      </c>
      <c r="K26" s="30" t="str">
        <f t="shared" si="0"/>
        <v>官方介绍 / 数据目录</v>
      </c>
      <c r="L26" s="27"/>
    </row>
    <row r="27" ht="60" customHeight="1" spans="1:12">
      <c r="A27" s="22"/>
      <c r="B27" s="22" t="s">
        <v>60</v>
      </c>
      <c r="C27" s="27" t="s">
        <v>88</v>
      </c>
      <c r="D27" s="27" t="s">
        <v>105</v>
      </c>
      <c r="E27" s="28" t="s">
        <v>106</v>
      </c>
      <c r="F27" s="19"/>
      <c r="G27" s="29" t="s">
        <v>91</v>
      </c>
      <c r="H27" s="27"/>
      <c r="I27" s="27"/>
      <c r="J27" s="27" t="s">
        <v>92</v>
      </c>
      <c r="K27" s="30" t="str">
        <f t="shared" si="0"/>
        <v>官方介绍 / 数据目录</v>
      </c>
      <c r="L27" s="27"/>
    </row>
    <row r="28" ht="60" customHeight="1" spans="1:12">
      <c r="A28" s="22"/>
      <c r="B28" s="22" t="s">
        <v>60</v>
      </c>
      <c r="C28" s="27" t="s">
        <v>88</v>
      </c>
      <c r="D28" s="27" t="s">
        <v>107</v>
      </c>
      <c r="E28" s="28" t="s">
        <v>106</v>
      </c>
      <c r="F28" s="19"/>
      <c r="G28" s="29" t="s">
        <v>91</v>
      </c>
      <c r="H28" s="27"/>
      <c r="I28" s="27"/>
      <c r="J28" s="27" t="s">
        <v>92</v>
      </c>
      <c r="K28" s="30" t="str">
        <f t="shared" si="0"/>
        <v>官方介绍 / 数据目录</v>
      </c>
      <c r="L28" s="27"/>
    </row>
    <row r="29" ht="60" customHeight="1" spans="1:12">
      <c r="A29" s="22"/>
      <c r="B29" s="22" t="s">
        <v>60</v>
      </c>
      <c r="C29" s="27" t="s">
        <v>88</v>
      </c>
      <c r="D29" s="27" t="s">
        <v>108</v>
      </c>
      <c r="E29" s="28" t="s">
        <v>109</v>
      </c>
      <c r="F29" s="19"/>
      <c r="G29" s="29" t="s">
        <v>91</v>
      </c>
      <c r="H29" s="27"/>
      <c r="I29" s="27"/>
      <c r="J29" s="27" t="s">
        <v>92</v>
      </c>
      <c r="K29" s="30" t="str">
        <f t="shared" si="0"/>
        <v>官方介绍 / 数据目录</v>
      </c>
      <c r="L29" s="27"/>
    </row>
    <row r="30" ht="60" customHeight="1" spans="1:12">
      <c r="A30" s="22"/>
      <c r="B30" s="22" t="s">
        <v>60</v>
      </c>
      <c r="C30" s="27" t="s">
        <v>88</v>
      </c>
      <c r="D30" s="27" t="s">
        <v>110</v>
      </c>
      <c r="E30" s="28" t="s">
        <v>111</v>
      </c>
      <c r="F30" s="19"/>
      <c r="G30" s="29" t="s">
        <v>91</v>
      </c>
      <c r="H30" s="27"/>
      <c r="I30" s="27"/>
      <c r="J30" s="27" t="s">
        <v>92</v>
      </c>
      <c r="K30" s="30" t="str">
        <f t="shared" si="0"/>
        <v>官方介绍 / 数据目录</v>
      </c>
      <c r="L30" s="27"/>
    </row>
    <row r="31" ht="60" customHeight="1" spans="1:12">
      <c r="A31" s="22"/>
      <c r="B31" s="22" t="s">
        <v>60</v>
      </c>
      <c r="C31" s="27" t="s">
        <v>88</v>
      </c>
      <c r="D31" s="27" t="s">
        <v>112</v>
      </c>
      <c r="E31" s="28" t="s">
        <v>113</v>
      </c>
      <c r="F31" s="19"/>
      <c r="G31" s="29" t="s">
        <v>91</v>
      </c>
      <c r="H31" s="27"/>
      <c r="I31" s="27"/>
      <c r="J31" s="27" t="s">
        <v>92</v>
      </c>
      <c r="K31" s="30" t="str">
        <f t="shared" si="0"/>
        <v>官方介绍 / 数据目录</v>
      </c>
      <c r="L31" s="27"/>
    </row>
    <row r="32" ht="60" customHeight="1" spans="1:12">
      <c r="A32" s="22"/>
      <c r="B32" s="22" t="s">
        <v>60</v>
      </c>
      <c r="C32" s="27" t="s">
        <v>88</v>
      </c>
      <c r="D32" s="27" t="s">
        <v>114</v>
      </c>
      <c r="E32" s="28" t="s">
        <v>115</v>
      </c>
      <c r="F32" s="19"/>
      <c r="G32" s="29" t="s">
        <v>91</v>
      </c>
      <c r="H32" s="27"/>
      <c r="I32" s="27"/>
      <c r="J32" s="27" t="s">
        <v>92</v>
      </c>
      <c r="K32" s="30" t="str">
        <f t="shared" si="0"/>
        <v>官方介绍 / 数据目录</v>
      </c>
      <c r="L32" s="27"/>
    </row>
    <row r="33" ht="60" customHeight="1" spans="1:12">
      <c r="A33" s="22"/>
      <c r="B33" s="22" t="s">
        <v>60</v>
      </c>
      <c r="C33" s="27" t="s">
        <v>88</v>
      </c>
      <c r="D33" s="27" t="s">
        <v>116</v>
      </c>
      <c r="E33" s="28" t="s">
        <v>117</v>
      </c>
      <c r="F33" s="19"/>
      <c r="G33" s="29" t="s">
        <v>91</v>
      </c>
      <c r="H33" s="27"/>
      <c r="I33" s="27"/>
      <c r="J33" s="27" t="s">
        <v>92</v>
      </c>
      <c r="K33" s="30" t="str">
        <f t="shared" si="0"/>
        <v>官方介绍 / 数据目录</v>
      </c>
      <c r="L33" s="27"/>
    </row>
    <row r="34" ht="60" customHeight="1" spans="1:12">
      <c r="A34" s="22"/>
      <c r="B34" s="22" t="s">
        <v>60</v>
      </c>
      <c r="C34" s="27" t="s">
        <v>88</v>
      </c>
      <c r="D34" s="27" t="s">
        <v>118</v>
      </c>
      <c r="E34" s="28" t="s">
        <v>119</v>
      </c>
      <c r="F34" s="19"/>
      <c r="G34" s="29" t="s">
        <v>91</v>
      </c>
      <c r="H34" s="27"/>
      <c r="I34" s="27"/>
      <c r="J34" s="27" t="s">
        <v>92</v>
      </c>
      <c r="K34" s="30" t="str">
        <f t="shared" si="0"/>
        <v>官方介绍 / 数据目录</v>
      </c>
      <c r="L34" s="27"/>
    </row>
    <row r="35" ht="60" customHeight="1" spans="1:12">
      <c r="A35" s="22"/>
      <c r="B35" s="22" t="s">
        <v>60</v>
      </c>
      <c r="C35" s="27" t="s">
        <v>88</v>
      </c>
      <c r="D35" s="27" t="s">
        <v>120</v>
      </c>
      <c r="E35" s="28" t="s">
        <v>121</v>
      </c>
      <c r="F35" s="19"/>
      <c r="G35" s="29" t="s">
        <v>91</v>
      </c>
      <c r="H35" s="27"/>
      <c r="I35" s="27"/>
      <c r="J35" s="27" t="s">
        <v>92</v>
      </c>
      <c r="K35" s="30" t="str">
        <f t="shared" si="0"/>
        <v>官方介绍 / 数据目录</v>
      </c>
      <c r="L35" s="27"/>
    </row>
    <row r="36" ht="60" customHeight="1" spans="1:12">
      <c r="A36" s="22"/>
      <c r="B36" s="22" t="s">
        <v>60</v>
      </c>
      <c r="C36" s="27" t="s">
        <v>88</v>
      </c>
      <c r="D36" s="27" t="s">
        <v>122</v>
      </c>
      <c r="E36" s="28" t="s">
        <v>123</v>
      </c>
      <c r="F36" s="19"/>
      <c r="G36" s="29" t="s">
        <v>91</v>
      </c>
      <c r="H36" s="27"/>
      <c r="I36" s="27"/>
      <c r="J36" s="27" t="s">
        <v>92</v>
      </c>
      <c r="K36" s="30" t="str">
        <f t="shared" si="0"/>
        <v>官方介绍 / 数据目录</v>
      </c>
      <c r="L36" s="27"/>
    </row>
    <row r="37" ht="60" customHeight="1" spans="1:12">
      <c r="A37" s="33"/>
      <c r="B37" s="33" t="s">
        <v>60</v>
      </c>
      <c r="C37" s="19" t="s">
        <v>88</v>
      </c>
      <c r="D37" s="19" t="s">
        <v>124</v>
      </c>
      <c r="E37" s="19" t="s">
        <v>125</v>
      </c>
      <c r="F37" s="19"/>
      <c r="G37" s="19" t="s">
        <v>91</v>
      </c>
      <c r="H37" s="19"/>
      <c r="I37" s="19"/>
      <c r="J37" s="19" t="s">
        <v>92</v>
      </c>
      <c r="K37" s="34" t="str">
        <f t="shared" si="0"/>
        <v>官方介绍 / 数据目录</v>
      </c>
      <c r="L37" s="19"/>
    </row>
    <row r="38" ht="60" customHeight="1" spans="1:12">
      <c r="A38" s="33"/>
      <c r="B38" s="33" t="s">
        <v>60</v>
      </c>
      <c r="C38" s="19" t="s">
        <v>88</v>
      </c>
      <c r="D38" s="19" t="s">
        <v>126</v>
      </c>
      <c r="E38" s="19" t="s">
        <v>127</v>
      </c>
      <c r="F38" s="19"/>
      <c r="G38" s="19" t="s">
        <v>91</v>
      </c>
      <c r="H38" s="19"/>
      <c r="I38" s="19"/>
      <c r="J38" s="19" t="s">
        <v>92</v>
      </c>
      <c r="K38" s="34" t="str">
        <f t="shared" si="0"/>
        <v>官方介绍 / 数据目录</v>
      </c>
      <c r="L38" s="19"/>
    </row>
    <row r="39" ht="60" customHeight="1" spans="1:12">
      <c r="A39" s="33"/>
      <c r="B39" s="33" t="s">
        <v>60</v>
      </c>
      <c r="C39" s="19" t="s">
        <v>128</v>
      </c>
      <c r="D39" s="19" t="s">
        <v>129</v>
      </c>
      <c r="E39" s="19" t="s">
        <v>130</v>
      </c>
      <c r="F39" s="19"/>
      <c r="G39" s="19" t="s">
        <v>131</v>
      </c>
      <c r="H39" s="19"/>
      <c r="I39" s="19"/>
      <c r="J39" s="19" t="s">
        <v>132</v>
      </c>
      <c r="K39" s="34" t="str">
        <f t="shared" ref="K39:K49" si="1">HYPERLINK("https://atlarge-research.com/gwa_datasets.html","官方介绍 / 数据目录")</f>
        <v>官方介绍 / 数据目录</v>
      </c>
      <c r="L39" s="19"/>
    </row>
    <row r="40" ht="60" customHeight="1" spans="1:12">
      <c r="A40" s="33"/>
      <c r="B40" s="33" t="s">
        <v>60</v>
      </c>
      <c r="C40" s="19" t="s">
        <v>128</v>
      </c>
      <c r="D40" s="19" t="s">
        <v>133</v>
      </c>
      <c r="E40" s="19" t="s">
        <v>134</v>
      </c>
      <c r="F40" s="19"/>
      <c r="G40" s="19" t="s">
        <v>131</v>
      </c>
      <c r="H40" s="19"/>
      <c r="I40" s="19"/>
      <c r="J40" s="19" t="s">
        <v>132</v>
      </c>
      <c r="K40" s="34" t="str">
        <f t="shared" si="1"/>
        <v>官方介绍 / 数据目录</v>
      </c>
      <c r="L40" s="19"/>
    </row>
    <row r="41" ht="60" customHeight="1" spans="1:12">
      <c r="A41" s="33"/>
      <c r="B41" s="33" t="s">
        <v>60</v>
      </c>
      <c r="C41" s="19" t="s">
        <v>128</v>
      </c>
      <c r="D41" s="19" t="s">
        <v>135</v>
      </c>
      <c r="E41" s="19" t="s">
        <v>136</v>
      </c>
      <c r="F41" s="19"/>
      <c r="G41" s="19" t="s">
        <v>131</v>
      </c>
      <c r="H41" s="19"/>
      <c r="I41" s="19"/>
      <c r="J41" s="19" t="s">
        <v>132</v>
      </c>
      <c r="K41" s="34" t="str">
        <f t="shared" si="1"/>
        <v>官方介绍 / 数据目录</v>
      </c>
      <c r="L41" s="19"/>
    </row>
    <row r="42" ht="60" customHeight="1" spans="1:12">
      <c r="A42" s="33"/>
      <c r="B42" s="33" t="s">
        <v>60</v>
      </c>
      <c r="C42" s="19" t="s">
        <v>128</v>
      </c>
      <c r="D42" s="19" t="s">
        <v>137</v>
      </c>
      <c r="E42" s="19" t="s">
        <v>138</v>
      </c>
      <c r="F42" s="19"/>
      <c r="G42" s="19" t="s">
        <v>131</v>
      </c>
      <c r="H42" s="19"/>
      <c r="I42" s="19"/>
      <c r="J42" s="19" t="s">
        <v>132</v>
      </c>
      <c r="K42" s="34" t="str">
        <f t="shared" si="1"/>
        <v>官方介绍 / 数据目录</v>
      </c>
      <c r="L42" s="19"/>
    </row>
    <row r="43" ht="60" customHeight="1" spans="1:12">
      <c r="A43" s="33"/>
      <c r="B43" s="33" t="s">
        <v>60</v>
      </c>
      <c r="C43" s="19" t="s">
        <v>128</v>
      </c>
      <c r="D43" s="19" t="s">
        <v>139</v>
      </c>
      <c r="E43" s="19" t="s">
        <v>140</v>
      </c>
      <c r="F43" s="19"/>
      <c r="G43" s="19" t="s">
        <v>131</v>
      </c>
      <c r="H43" s="19"/>
      <c r="I43" s="19"/>
      <c r="J43" s="19" t="s">
        <v>132</v>
      </c>
      <c r="K43" s="34" t="str">
        <f t="shared" si="1"/>
        <v>官方介绍 / 数据目录</v>
      </c>
      <c r="L43" s="19"/>
    </row>
    <row r="44" ht="60" customHeight="1" spans="1:12">
      <c r="A44" s="33"/>
      <c r="B44" s="33" t="s">
        <v>60</v>
      </c>
      <c r="C44" s="19" t="s">
        <v>128</v>
      </c>
      <c r="D44" s="19" t="s">
        <v>141</v>
      </c>
      <c r="E44" s="19" t="s">
        <v>142</v>
      </c>
      <c r="F44" s="19"/>
      <c r="G44" s="19" t="s">
        <v>131</v>
      </c>
      <c r="H44" s="19"/>
      <c r="I44" s="19"/>
      <c r="J44" s="19" t="s">
        <v>132</v>
      </c>
      <c r="K44" s="34" t="str">
        <f t="shared" si="1"/>
        <v>官方介绍 / 数据目录</v>
      </c>
      <c r="L44" s="19"/>
    </row>
    <row r="45" ht="60" customHeight="1" spans="1:12">
      <c r="A45" s="33"/>
      <c r="B45" s="33" t="s">
        <v>60</v>
      </c>
      <c r="C45" s="19" t="s">
        <v>128</v>
      </c>
      <c r="D45" s="19" t="s">
        <v>143</v>
      </c>
      <c r="E45" s="19" t="s">
        <v>144</v>
      </c>
      <c r="F45" s="19"/>
      <c r="G45" s="19" t="s">
        <v>131</v>
      </c>
      <c r="H45" s="19"/>
      <c r="I45" s="19"/>
      <c r="J45" s="19" t="s">
        <v>132</v>
      </c>
      <c r="K45" s="34" t="str">
        <f t="shared" si="1"/>
        <v>官方介绍 / 数据目录</v>
      </c>
      <c r="L45" s="19"/>
    </row>
    <row r="46" ht="60" customHeight="1" spans="1:12">
      <c r="A46" s="33"/>
      <c r="B46" s="33" t="s">
        <v>60</v>
      </c>
      <c r="C46" s="19" t="s">
        <v>128</v>
      </c>
      <c r="D46" s="19" t="s">
        <v>145</v>
      </c>
      <c r="E46" s="19" t="s">
        <v>146</v>
      </c>
      <c r="F46" s="19"/>
      <c r="G46" s="19" t="s">
        <v>131</v>
      </c>
      <c r="H46" s="19"/>
      <c r="I46" s="19"/>
      <c r="J46" s="19" t="s">
        <v>132</v>
      </c>
      <c r="K46" s="34" t="str">
        <f t="shared" si="1"/>
        <v>官方介绍 / 数据目录</v>
      </c>
      <c r="L46" s="19"/>
    </row>
    <row r="47" ht="60" customHeight="1" spans="1:12">
      <c r="A47" s="33"/>
      <c r="B47" s="33" t="s">
        <v>60</v>
      </c>
      <c r="C47" s="19" t="s">
        <v>128</v>
      </c>
      <c r="D47" s="19" t="s">
        <v>147</v>
      </c>
      <c r="E47" s="19" t="s">
        <v>148</v>
      </c>
      <c r="F47" s="19"/>
      <c r="G47" s="19" t="s">
        <v>131</v>
      </c>
      <c r="H47" s="19"/>
      <c r="I47" s="19"/>
      <c r="J47" s="19" t="s">
        <v>132</v>
      </c>
      <c r="K47" s="34" t="str">
        <f t="shared" si="1"/>
        <v>官方介绍 / 数据目录</v>
      </c>
      <c r="L47" s="19"/>
    </row>
    <row r="48" ht="60" customHeight="1" spans="1:12">
      <c r="A48" s="33"/>
      <c r="B48" s="33" t="s">
        <v>60</v>
      </c>
      <c r="C48" s="19" t="s">
        <v>128</v>
      </c>
      <c r="D48" s="19" t="s">
        <v>149</v>
      </c>
      <c r="E48" s="19" t="s">
        <v>150</v>
      </c>
      <c r="F48" s="19"/>
      <c r="G48" s="19" t="s">
        <v>131</v>
      </c>
      <c r="H48" s="19"/>
      <c r="I48" s="19"/>
      <c r="J48" s="19" t="s">
        <v>132</v>
      </c>
      <c r="K48" s="34" t="str">
        <f t="shared" si="1"/>
        <v>官方介绍 / 数据目录</v>
      </c>
      <c r="L48" s="19"/>
    </row>
    <row r="49" ht="60" customHeight="1" spans="1:12">
      <c r="A49" s="33"/>
      <c r="B49" s="33" t="s">
        <v>60</v>
      </c>
      <c r="C49" s="19" t="s">
        <v>128</v>
      </c>
      <c r="D49" s="19" t="s">
        <v>141</v>
      </c>
      <c r="E49" s="19" t="s">
        <v>151</v>
      </c>
      <c r="F49" s="19"/>
      <c r="G49" s="19" t="s">
        <v>131</v>
      </c>
      <c r="H49" s="19"/>
      <c r="I49" s="19"/>
      <c r="J49" s="19" t="s">
        <v>132</v>
      </c>
      <c r="K49" s="34" t="str">
        <f t="shared" si="1"/>
        <v>官方介绍 / 数据目录</v>
      </c>
      <c r="L49" s="19"/>
    </row>
    <row r="50" ht="60" customHeight="1" spans="1:12">
      <c r="A50" s="33"/>
      <c r="B50" s="33" t="s">
        <v>60</v>
      </c>
      <c r="C50" s="19" t="s">
        <v>152</v>
      </c>
      <c r="D50" s="19" t="s">
        <v>153</v>
      </c>
      <c r="E50" s="19">
        <v>2017</v>
      </c>
      <c r="F50" s="19"/>
      <c r="G50" s="19" t="s">
        <v>154</v>
      </c>
      <c r="H50" s="19"/>
      <c r="I50" s="19"/>
      <c r="J50" s="19"/>
      <c r="K50" s="34" t="str">
        <f>HYPERLINK("https://github.com/alibaba/clusterdata/tree/master/cluster-trace-v2017","官方介绍 / 数据目录")</f>
        <v>官方介绍 / 数据目录</v>
      </c>
      <c r="L50" s="19"/>
    </row>
    <row r="51" ht="60" customHeight="1" spans="1:12">
      <c r="A51" s="33"/>
      <c r="B51" s="33" t="s">
        <v>60</v>
      </c>
      <c r="C51" s="19" t="s">
        <v>152</v>
      </c>
      <c r="D51" s="19" t="s">
        <v>153</v>
      </c>
      <c r="E51" s="19">
        <v>2018</v>
      </c>
      <c r="F51" s="19"/>
      <c r="G51" s="19" t="s">
        <v>155</v>
      </c>
      <c r="H51" s="19"/>
      <c r="I51" s="19"/>
      <c r="J51" s="19"/>
      <c r="K51" s="34" t="str">
        <f>HYPERLINK("https://github.com/alibaba/clusterdata/tree/master/cluster-trace-v2018","官方介绍 / 数据目录")</f>
        <v>官方介绍 / 数据目录</v>
      </c>
      <c r="L51" s="19"/>
    </row>
    <row r="52" ht="60" customHeight="1" spans="1:12">
      <c r="A52" s="33"/>
      <c r="B52" s="33" t="s">
        <v>60</v>
      </c>
      <c r="C52" s="19" t="s">
        <v>152</v>
      </c>
      <c r="D52" s="19" t="s">
        <v>156</v>
      </c>
      <c r="E52" s="19">
        <v>2021</v>
      </c>
      <c r="F52" s="19"/>
      <c r="G52" s="19" t="s">
        <v>157</v>
      </c>
      <c r="H52" s="19"/>
      <c r="I52" s="19"/>
      <c r="J52" s="19"/>
      <c r="K52" s="34" t="str">
        <f>HYPERLINK("https://github.com/alibaba/clusterdata/tree/master/cluster-trace-microservices-v2021","官方介绍 / 数据目录")</f>
        <v>官方介绍 / 数据目录</v>
      </c>
      <c r="L52" s="19"/>
    </row>
    <row r="53" ht="60" customHeight="1" spans="1:12">
      <c r="A53" s="33"/>
      <c r="B53" s="33" t="s">
        <v>60</v>
      </c>
      <c r="C53" s="19" t="s">
        <v>152</v>
      </c>
      <c r="D53" s="19" t="s">
        <v>25</v>
      </c>
      <c r="E53" s="19">
        <v>2023</v>
      </c>
      <c r="F53" s="19"/>
      <c r="G53" s="19" t="s">
        <v>158</v>
      </c>
      <c r="H53" s="19"/>
      <c r="I53" s="19"/>
      <c r="J53" s="19"/>
      <c r="K53" s="34" t="str">
        <f>HYPERLINK("https://github.com/alibaba/clusterdata/tree/master/cluster-trace-gpu-v2023","官方介绍 / 数据目录")</f>
        <v>官方介绍 / 数据目录</v>
      </c>
      <c r="L53" s="19"/>
    </row>
    <row r="54" ht="60" customHeight="1" spans="1:12">
      <c r="A54" s="33"/>
      <c r="B54" s="33" t="s">
        <v>60</v>
      </c>
      <c r="C54" s="19" t="s">
        <v>152</v>
      </c>
      <c r="D54" s="19" t="s">
        <v>25</v>
      </c>
      <c r="E54" s="19">
        <v>2026</v>
      </c>
      <c r="F54" s="19"/>
      <c r="G54" s="19" t="s">
        <v>159</v>
      </c>
      <c r="H54" s="19"/>
      <c r="I54" s="19"/>
      <c r="J54" s="19"/>
      <c r="K54" s="34" t="str">
        <f>HYPERLINK("https://github.com/alibaba/clusterdata/tree/master/cluster-trace-gpu-v2026","官方介绍 / 数据目录")</f>
        <v>官方介绍 / 数据目录</v>
      </c>
      <c r="L54" s="19"/>
    </row>
    <row r="55" ht="60" customHeight="1" spans="1:12">
      <c r="A55" s="33"/>
      <c r="B55" s="33" t="s">
        <v>60</v>
      </c>
      <c r="C55" s="19" t="s">
        <v>152</v>
      </c>
      <c r="D55" s="19" t="s">
        <v>160</v>
      </c>
      <c r="E55" s="19">
        <v>2026</v>
      </c>
      <c r="F55" s="19"/>
      <c r="G55" s="19" t="s">
        <v>161</v>
      </c>
      <c r="H55" s="19"/>
      <c r="I55" s="19"/>
      <c r="J55" s="19"/>
      <c r="K55" s="34" t="str">
        <f>HYPERLINK("https://github.com/alibaba/clusterdata/tree/master/cluster-trace-v2026-GenAI","官方介绍 / 数据目录")</f>
        <v>官方介绍 / 数据目录</v>
      </c>
      <c r="L55" s="19"/>
    </row>
    <row r="56" spans="1:12">
      <c r="A56" s="35" t="s">
        <v>12</v>
      </c>
      <c r="B56" s="35" t="s">
        <v>12</v>
      </c>
    </row>
    <row r="57" spans="1:12">
      <c r="A57" s="35" t="s">
        <v>12</v>
      </c>
      <c r="B57" s="35" t="s">
        <v>12</v>
      </c>
    </row>
    <row r="58" spans="1:12">
      <c r="A58" s="35" t="s">
        <v>12</v>
      </c>
      <c r="B58" s="35" t="s">
        <v>12</v>
      </c>
    </row>
    <row r="59" spans="1:12">
      <c r="A59" s="35" t="s">
        <v>12</v>
      </c>
      <c r="B59" s="35" t="s">
        <v>12</v>
      </c>
    </row>
    <row r="60" spans="1:12">
      <c r="A60" s="35" t="s">
        <v>12</v>
      </c>
      <c r="B60" s="35" t="s">
        <v>12</v>
      </c>
    </row>
    <row r="61" spans="1:12">
      <c r="A61" s="35" t="s">
        <v>12</v>
      </c>
      <c r="B61" s="35" t="s">
        <v>12</v>
      </c>
    </row>
    <row r="62" spans="1:12">
      <c r="A62" s="35" t="s">
        <v>12</v>
      </c>
      <c r="B62" s="35" t="s">
        <v>12</v>
      </c>
    </row>
    <row r="63" spans="1:12">
      <c r="A63" s="35" t="s">
        <v>12</v>
      </c>
      <c r="B63" s="35" t="s">
        <v>12</v>
      </c>
    </row>
    <row r="64" spans="1:12">
      <c r="A64" s="35" t="s">
        <v>12</v>
      </c>
      <c r="B64" s="35" t="s">
        <v>12</v>
      </c>
    </row>
    <row r="65" spans="1:2">
      <c r="A65" s="35" t="s">
        <v>12</v>
      </c>
      <c r="B65" s="35" t="s">
        <v>12</v>
      </c>
    </row>
    <row r="66" spans="1:2">
      <c r="A66" s="35" t="s">
        <v>12</v>
      </c>
      <c r="B66" s="35" t="s">
        <v>12</v>
      </c>
    </row>
    <row r="67" spans="1:2">
      <c r="A67" s="35" t="s">
        <v>12</v>
      </c>
      <c r="B67" s="35" t="s">
        <v>12</v>
      </c>
    </row>
    <row r="68" spans="1:2">
      <c r="A68" s="35" t="s">
        <v>12</v>
      </c>
      <c r="B68" s="35" t="s">
        <v>12</v>
      </c>
    </row>
    <row r="69" spans="1:2">
      <c r="A69" s="35" t="s">
        <v>12</v>
      </c>
      <c r="B69" s="35" t="s">
        <v>12</v>
      </c>
    </row>
    <row r="70" spans="1:2">
      <c r="A70" s="35" t="s">
        <v>12</v>
      </c>
      <c r="B70" s="35" t="s">
        <v>12</v>
      </c>
    </row>
    <row r="71" spans="1:2">
      <c r="A71" s="35" t="s">
        <v>12</v>
      </c>
      <c r="B71" s="35" t="s">
        <v>12</v>
      </c>
    </row>
    <row r="72" spans="1:2">
      <c r="A72" s="35" t="s">
        <v>12</v>
      </c>
      <c r="B72" s="35" t="s">
        <v>12</v>
      </c>
    </row>
    <row r="73" spans="1:2">
      <c r="A73" s="35" t="s">
        <v>12</v>
      </c>
      <c r="B73" s="35" t="s">
        <v>12</v>
      </c>
    </row>
    <row r="74" spans="1:2">
      <c r="A74" s="35" t="s">
        <v>12</v>
      </c>
      <c r="B74" s="35" t="s">
        <v>12</v>
      </c>
    </row>
    <row r="75" spans="1:2">
      <c r="A75" s="35" t="s">
        <v>12</v>
      </c>
      <c r="B75" s="35" t="s">
        <v>12</v>
      </c>
    </row>
    <row r="76" spans="1:2">
      <c r="A76" s="35" t="s">
        <v>12</v>
      </c>
      <c r="B76" s="35" t="s">
        <v>12</v>
      </c>
    </row>
    <row r="77" spans="1:2">
      <c r="A77" s="35" t="s">
        <v>12</v>
      </c>
      <c r="B77" s="35" t="s">
        <v>12</v>
      </c>
    </row>
    <row r="78" spans="1:2">
      <c r="A78" s="35" t="s">
        <v>12</v>
      </c>
      <c r="B78" s="35" t="s">
        <v>12</v>
      </c>
    </row>
    <row r="79" spans="1:2">
      <c r="A79" s="35" t="s">
        <v>12</v>
      </c>
      <c r="B79" s="35" t="s">
        <v>12</v>
      </c>
    </row>
    <row r="80" spans="1:2">
      <c r="A80" s="35" t="s">
        <v>12</v>
      </c>
      <c r="B80" s="35" t="s">
        <v>12</v>
      </c>
    </row>
    <row r="81" spans="1:2">
      <c r="A81" s="35" t="s">
        <v>12</v>
      </c>
      <c r="B81" s="35" t="s">
        <v>12</v>
      </c>
    </row>
    <row r="82" spans="1:2">
      <c r="A82" s="35" t="s">
        <v>12</v>
      </c>
      <c r="B82" s="35" t="s">
        <v>12</v>
      </c>
    </row>
    <row r="83" spans="1:2">
      <c r="A83" s="35" t="s">
        <v>12</v>
      </c>
      <c r="B83" s="35" t="s">
        <v>12</v>
      </c>
    </row>
    <row r="84" spans="1:2">
      <c r="A84" s="35" t="s">
        <v>12</v>
      </c>
      <c r="B84" s="35" t="s">
        <v>12</v>
      </c>
    </row>
    <row r="85" spans="1:2">
      <c r="A85" s="35" t="s">
        <v>12</v>
      </c>
      <c r="B85" s="35" t="s">
        <v>12</v>
      </c>
    </row>
    <row r="86" spans="1:2">
      <c r="A86" s="35" t="s">
        <v>12</v>
      </c>
      <c r="B86" s="35" t="s">
        <v>12</v>
      </c>
    </row>
    <row r="87" spans="1:2">
      <c r="A87" s="35" t="s">
        <v>12</v>
      </c>
      <c r="B87" s="35" t="s">
        <v>12</v>
      </c>
    </row>
    <row r="88" spans="1:2">
      <c r="A88" s="35" t="s">
        <v>12</v>
      </c>
      <c r="B88" s="35" t="s">
        <v>12</v>
      </c>
    </row>
    <row r="89" spans="1:2">
      <c r="A89" s="35" t="s">
        <v>12</v>
      </c>
      <c r="B89" s="35" t="s">
        <v>12</v>
      </c>
    </row>
    <row r="90" spans="1:2">
      <c r="A90" s="35" t="s">
        <v>12</v>
      </c>
      <c r="B90" s="35" t="s">
        <v>12</v>
      </c>
    </row>
    <row r="91" spans="1:2">
      <c r="A91" s="35" t="s">
        <v>12</v>
      </c>
      <c r="B91" s="35" t="s">
        <v>12</v>
      </c>
    </row>
    <row r="92" spans="1:2">
      <c r="A92" s="35" t="s">
        <v>12</v>
      </c>
      <c r="B92" s="35" t="s">
        <v>12</v>
      </c>
    </row>
    <row r="93" spans="1:2">
      <c r="A93" s="35" t="s">
        <v>12</v>
      </c>
      <c r="B93" s="35" t="s">
        <v>12</v>
      </c>
    </row>
    <row r="94" spans="1:2">
      <c r="A94" s="35" t="s">
        <v>12</v>
      </c>
      <c r="B94" s="35" t="s">
        <v>12</v>
      </c>
    </row>
    <row r="95" spans="1:2">
      <c r="A95" s="35" t="s">
        <v>12</v>
      </c>
      <c r="B95" s="35" t="s">
        <v>12</v>
      </c>
    </row>
    <row r="96" spans="1:2">
      <c r="A96" s="35" t="s">
        <v>12</v>
      </c>
      <c r="B96" s="35" t="s">
        <v>12</v>
      </c>
    </row>
    <row r="97" spans="1:2">
      <c r="A97" s="35" t="s">
        <v>12</v>
      </c>
      <c r="B97" s="35" t="s">
        <v>12</v>
      </c>
    </row>
    <row r="98" spans="1:2">
      <c r="A98" s="35" t="s">
        <v>12</v>
      </c>
      <c r="B98" s="35" t="s">
        <v>12</v>
      </c>
    </row>
    <row r="99" spans="1:2">
      <c r="A99" s="35" t="s">
        <v>12</v>
      </c>
      <c r="B99" s="35" t="s">
        <v>12</v>
      </c>
    </row>
    <row r="100" spans="1:2">
      <c r="A100" s="35" t="s">
        <v>12</v>
      </c>
      <c r="B100" s="35" t="s">
        <v>12</v>
      </c>
    </row>
    <row r="101" spans="1:2">
      <c r="A101" s="35" t="s">
        <v>12</v>
      </c>
      <c r="B101" s="35" t="s">
        <v>12</v>
      </c>
    </row>
    <row r="102" spans="1:2">
      <c r="A102" s="35" t="s">
        <v>12</v>
      </c>
      <c r="B102" s="35" t="s">
        <v>12</v>
      </c>
    </row>
    <row r="103" spans="1:2">
      <c r="A103" s="35" t="s">
        <v>12</v>
      </c>
      <c r="B103" s="35" t="s">
        <v>12</v>
      </c>
    </row>
    <row r="104" spans="1:2">
      <c r="A104" s="35" t="s">
        <v>12</v>
      </c>
      <c r="B104" s="35" t="s">
        <v>12</v>
      </c>
    </row>
    <row r="105" spans="1:2">
      <c r="A105" s="35" t="s">
        <v>12</v>
      </c>
      <c r="B105" s="35" t="s">
        <v>12</v>
      </c>
    </row>
    <row r="106" spans="1:2">
      <c r="A106" s="35" t="s">
        <v>12</v>
      </c>
      <c r="B106" s="35" t="s">
        <v>12</v>
      </c>
    </row>
    <row r="107" spans="1:2">
      <c r="A107" s="35" t="s">
        <v>12</v>
      </c>
      <c r="B107" s="35" t="s">
        <v>12</v>
      </c>
    </row>
    <row r="108" spans="1:2">
      <c r="A108" s="35" t="s">
        <v>12</v>
      </c>
      <c r="B108" s="35" t="s">
        <v>12</v>
      </c>
    </row>
    <row r="109" spans="1:2">
      <c r="A109" s="35" t="s">
        <v>12</v>
      </c>
      <c r="B109" s="35" t="s">
        <v>12</v>
      </c>
    </row>
    <row r="110" spans="1:2">
      <c r="A110" s="35" t="s">
        <v>12</v>
      </c>
      <c r="B110" s="35" t="s">
        <v>12</v>
      </c>
    </row>
    <row r="111" spans="1:2">
      <c r="A111" s="35" t="s">
        <v>12</v>
      </c>
      <c r="B111" s="35" t="s">
        <v>12</v>
      </c>
    </row>
    <row r="112" spans="1:2">
      <c r="A112" s="35" t="s">
        <v>12</v>
      </c>
      <c r="B112" s="35" t="s">
        <v>12</v>
      </c>
    </row>
    <row r="113" spans="1:2">
      <c r="A113" s="35" t="s">
        <v>12</v>
      </c>
      <c r="B113" s="35" t="s">
        <v>12</v>
      </c>
    </row>
    <row r="114" spans="1:2">
      <c r="A114" s="35" t="s">
        <v>12</v>
      </c>
      <c r="B114" s="35" t="s">
        <v>12</v>
      </c>
    </row>
    <row r="115" spans="1:2">
      <c r="A115" s="35" t="s">
        <v>12</v>
      </c>
      <c r="B115" s="35" t="s">
        <v>12</v>
      </c>
    </row>
    <row r="116" spans="1:2">
      <c r="A116" s="35" t="s">
        <v>12</v>
      </c>
      <c r="B116" s="35" t="s">
        <v>12</v>
      </c>
    </row>
    <row r="117" spans="1:2">
      <c r="A117" s="35" t="s">
        <v>12</v>
      </c>
      <c r="B117" s="35" t="s">
        <v>12</v>
      </c>
    </row>
    <row r="118" spans="1:2">
      <c r="A118" s="35" t="s">
        <v>12</v>
      </c>
      <c r="B118" s="35" t="s">
        <v>12</v>
      </c>
    </row>
    <row r="119" spans="1:2">
      <c r="A119" s="35" t="s">
        <v>12</v>
      </c>
      <c r="B119" s="35" t="s">
        <v>12</v>
      </c>
    </row>
    <row r="120" spans="1:2">
      <c r="A120" s="35" t="s">
        <v>12</v>
      </c>
      <c r="B120" s="35" t="s">
        <v>12</v>
      </c>
    </row>
    <row r="121" spans="1:2">
      <c r="A121" s="35" t="s">
        <v>12</v>
      </c>
      <c r="B121" s="35" t="s">
        <v>12</v>
      </c>
    </row>
    <row r="122" spans="1:2">
      <c r="A122" s="35" t="s">
        <v>12</v>
      </c>
      <c r="B122" s="35" t="s">
        <v>12</v>
      </c>
    </row>
    <row r="123" spans="1:2">
      <c r="A123" s="35" t="s">
        <v>12</v>
      </c>
      <c r="B123" s="35" t="s">
        <v>12</v>
      </c>
    </row>
    <row r="124" spans="1:2">
      <c r="A124" s="35" t="s">
        <v>12</v>
      </c>
      <c r="B124" s="35" t="s">
        <v>12</v>
      </c>
    </row>
    <row r="125" spans="1:2">
      <c r="A125" s="35" t="s">
        <v>12</v>
      </c>
      <c r="B125" s="35" t="s">
        <v>12</v>
      </c>
    </row>
    <row r="126" spans="1:2">
      <c r="A126" s="35" t="s">
        <v>12</v>
      </c>
      <c r="B126" s="35" t="s">
        <v>12</v>
      </c>
    </row>
    <row r="127" spans="1:2">
      <c r="A127" s="35" t="s">
        <v>12</v>
      </c>
      <c r="B127" s="35" t="s">
        <v>12</v>
      </c>
    </row>
    <row r="128" spans="1:2">
      <c r="A128" s="35" t="s">
        <v>12</v>
      </c>
      <c r="B128" s="35" t="s">
        <v>12</v>
      </c>
    </row>
    <row r="129" spans="1:2">
      <c r="A129" s="35" t="s">
        <v>12</v>
      </c>
      <c r="B129" s="35" t="s">
        <v>12</v>
      </c>
    </row>
    <row r="130" spans="1:2">
      <c r="A130" s="35" t="s">
        <v>12</v>
      </c>
      <c r="B130" s="35" t="s">
        <v>12</v>
      </c>
    </row>
    <row r="131" spans="1:2">
      <c r="A131" s="35" t="s">
        <v>12</v>
      </c>
      <c r="B131" s="35" t="s">
        <v>12</v>
      </c>
    </row>
    <row r="132" spans="1:2">
      <c r="A132" s="35" t="s">
        <v>12</v>
      </c>
      <c r="B132" s="35" t="s">
        <v>12</v>
      </c>
    </row>
    <row r="133" spans="1:2">
      <c r="A133" s="35" t="s">
        <v>12</v>
      </c>
      <c r="B133" s="35" t="s">
        <v>12</v>
      </c>
    </row>
    <row r="134" spans="1:2">
      <c r="A134" s="35" t="s">
        <v>12</v>
      </c>
      <c r="B134" s="35" t="s">
        <v>12</v>
      </c>
    </row>
    <row r="135" spans="1:2">
      <c r="A135" s="35" t="s">
        <v>12</v>
      </c>
      <c r="B135" s="35" t="s">
        <v>12</v>
      </c>
    </row>
    <row r="136" spans="1:2">
      <c r="A136" s="35" t="s">
        <v>12</v>
      </c>
      <c r="B136" s="35" t="s">
        <v>12</v>
      </c>
    </row>
    <row r="137" spans="1:2">
      <c r="A137" s="35" t="s">
        <v>12</v>
      </c>
      <c r="B137" s="35" t="s">
        <v>12</v>
      </c>
    </row>
    <row r="138" spans="1:2">
      <c r="A138" s="35" t="s">
        <v>12</v>
      </c>
      <c r="B138" s="35" t="s">
        <v>12</v>
      </c>
    </row>
    <row r="139" spans="1:2">
      <c r="A139" s="35" t="s">
        <v>12</v>
      </c>
      <c r="B139" s="35" t="s">
        <v>12</v>
      </c>
    </row>
    <row r="140" spans="1:2">
      <c r="A140" s="35" t="s">
        <v>12</v>
      </c>
      <c r="B140" s="35" t="s">
        <v>12</v>
      </c>
    </row>
    <row r="141" spans="1:2">
      <c r="A141" s="35" t="s">
        <v>12</v>
      </c>
      <c r="B141" s="35" t="s">
        <v>12</v>
      </c>
    </row>
    <row r="142" spans="1:2">
      <c r="A142" s="35" t="s">
        <v>12</v>
      </c>
      <c r="B142" s="35" t="s">
        <v>12</v>
      </c>
    </row>
    <row r="143" spans="1:2">
      <c r="A143" s="35" t="s">
        <v>12</v>
      </c>
      <c r="B143" s="35" t="s">
        <v>12</v>
      </c>
    </row>
    <row r="144" spans="1:2">
      <c r="A144" s="35" t="s">
        <v>12</v>
      </c>
      <c r="B144" s="35" t="s">
        <v>12</v>
      </c>
    </row>
    <row r="145" spans="1:2">
      <c r="A145" s="35" t="s">
        <v>12</v>
      </c>
      <c r="B145" s="35" t="s">
        <v>12</v>
      </c>
    </row>
    <row r="146" spans="1:2">
      <c r="A146" s="35" t="s">
        <v>12</v>
      </c>
      <c r="B146" s="35" t="s">
        <v>12</v>
      </c>
    </row>
    <row r="147" spans="1:2">
      <c r="A147" s="35" t="s">
        <v>12</v>
      </c>
      <c r="B147" s="35" t="s">
        <v>12</v>
      </c>
    </row>
    <row r="148" spans="1:2">
      <c r="A148" s="35" t="s">
        <v>12</v>
      </c>
      <c r="B148" s="35" t="s">
        <v>12</v>
      </c>
    </row>
    <row r="149" spans="1:2">
      <c r="A149" s="35" t="s">
        <v>12</v>
      </c>
      <c r="B149" s="35" t="s">
        <v>12</v>
      </c>
    </row>
    <row r="150" spans="1:2">
      <c r="A150" s="35" t="s">
        <v>12</v>
      </c>
      <c r="B150" s="35" t="s">
        <v>12</v>
      </c>
    </row>
    <row r="151" spans="1:2">
      <c r="A151" s="35" t="s">
        <v>12</v>
      </c>
      <c r="B151" s="35" t="s">
        <v>12</v>
      </c>
    </row>
    <row r="152" spans="1:2">
      <c r="A152" s="35" t="s">
        <v>12</v>
      </c>
      <c r="B152" s="35" t="s">
        <v>12</v>
      </c>
    </row>
    <row r="153" spans="1:2">
      <c r="A153" s="35" t="s">
        <v>12</v>
      </c>
      <c r="B153" s="35" t="s">
        <v>12</v>
      </c>
    </row>
    <row r="154" spans="1:2">
      <c r="A154" s="35" t="s">
        <v>12</v>
      </c>
      <c r="B154" s="35" t="s">
        <v>12</v>
      </c>
    </row>
    <row r="155" spans="1:2">
      <c r="A155" s="35" t="s">
        <v>12</v>
      </c>
      <c r="B155" s="35" t="s">
        <v>12</v>
      </c>
    </row>
    <row r="156" spans="1:2">
      <c r="A156" s="35" t="s">
        <v>12</v>
      </c>
      <c r="B156" s="35" t="s">
        <v>12</v>
      </c>
    </row>
    <row r="157" spans="1:2">
      <c r="A157" s="35" t="s">
        <v>12</v>
      </c>
      <c r="B157" s="35" t="s">
        <v>12</v>
      </c>
    </row>
    <row r="158" spans="1:2">
      <c r="A158" s="35" t="s">
        <v>12</v>
      </c>
      <c r="B158" s="35" t="s">
        <v>12</v>
      </c>
    </row>
    <row r="159" spans="1:2">
      <c r="A159" s="35" t="s">
        <v>12</v>
      </c>
      <c r="B159" s="35" t="s">
        <v>12</v>
      </c>
    </row>
    <row r="160" spans="1:2">
      <c r="A160" s="35" t="s">
        <v>12</v>
      </c>
      <c r="B160" s="35" t="s">
        <v>12</v>
      </c>
    </row>
    <row r="161" spans="1:2">
      <c r="A161" s="35" t="s">
        <v>12</v>
      </c>
      <c r="B161" s="35" t="s">
        <v>12</v>
      </c>
    </row>
    <row r="162" spans="1:2">
      <c r="A162" s="35" t="s">
        <v>12</v>
      </c>
      <c r="B162" s="35" t="s">
        <v>12</v>
      </c>
    </row>
    <row r="163" spans="1:2">
      <c r="A163" s="35" t="s">
        <v>12</v>
      </c>
      <c r="B163" s="35" t="s">
        <v>12</v>
      </c>
    </row>
    <row r="164" spans="1:2">
      <c r="A164" s="35" t="s">
        <v>12</v>
      </c>
      <c r="B164" s="35" t="s">
        <v>12</v>
      </c>
    </row>
    <row r="165" spans="1:2">
      <c r="A165" s="35" t="s">
        <v>12</v>
      </c>
      <c r="B165" s="35" t="s">
        <v>12</v>
      </c>
    </row>
    <row r="166" spans="1:2">
      <c r="A166" s="35" t="s">
        <v>12</v>
      </c>
      <c r="B166" s="35" t="s">
        <v>12</v>
      </c>
    </row>
    <row r="167" spans="1:2">
      <c r="A167" s="35" t="s">
        <v>12</v>
      </c>
      <c r="B167" s="35" t="s">
        <v>12</v>
      </c>
    </row>
    <row r="168" spans="1:2">
      <c r="A168" s="35" t="s">
        <v>12</v>
      </c>
      <c r="B168" s="35" t="s">
        <v>12</v>
      </c>
    </row>
    <row r="169" spans="1:2">
      <c r="A169" s="35" t="s">
        <v>12</v>
      </c>
      <c r="B169" s="35" t="s">
        <v>12</v>
      </c>
    </row>
    <row r="170" spans="1:2">
      <c r="A170" s="35" t="s">
        <v>12</v>
      </c>
      <c r="B170" s="35" t="s">
        <v>12</v>
      </c>
    </row>
    <row r="171" spans="1:2">
      <c r="A171" s="35" t="s">
        <v>12</v>
      </c>
      <c r="B171" s="35" t="s">
        <v>12</v>
      </c>
    </row>
    <row r="172" spans="1:2">
      <c r="A172" s="35" t="s">
        <v>12</v>
      </c>
      <c r="B172" s="35" t="s">
        <v>12</v>
      </c>
    </row>
    <row r="173" spans="1:2">
      <c r="A173" s="35" t="s">
        <v>12</v>
      </c>
      <c r="B173" s="35" t="s">
        <v>12</v>
      </c>
    </row>
    <row r="174" spans="1:2">
      <c r="A174" s="35" t="s">
        <v>12</v>
      </c>
      <c r="B174" s="35" t="s">
        <v>12</v>
      </c>
    </row>
    <row r="175" spans="1:2">
      <c r="A175" s="35" t="s">
        <v>12</v>
      </c>
      <c r="B175" s="35" t="s">
        <v>12</v>
      </c>
    </row>
    <row r="176" spans="1:2">
      <c r="A176" s="35" t="s">
        <v>12</v>
      </c>
      <c r="B176" s="35" t="s">
        <v>12</v>
      </c>
    </row>
    <row r="177" spans="1:2">
      <c r="A177" s="35" t="s">
        <v>12</v>
      </c>
      <c r="B177" s="35" t="s">
        <v>12</v>
      </c>
    </row>
    <row r="178" spans="1:2">
      <c r="A178" s="35" t="s">
        <v>12</v>
      </c>
      <c r="B178" s="35" t="s">
        <v>12</v>
      </c>
    </row>
    <row r="179" spans="1:2">
      <c r="A179" s="35" t="s">
        <v>12</v>
      </c>
      <c r="B179" s="35" t="s">
        <v>12</v>
      </c>
    </row>
    <row r="180" spans="1:2">
      <c r="A180" s="35" t="s">
        <v>12</v>
      </c>
      <c r="B180" s="35" t="s">
        <v>12</v>
      </c>
    </row>
    <row r="181" spans="1:2">
      <c r="A181" s="35" t="s">
        <v>12</v>
      </c>
      <c r="B181" s="35" t="s">
        <v>12</v>
      </c>
    </row>
    <row r="182" spans="1:2">
      <c r="A182" s="35" t="s">
        <v>12</v>
      </c>
      <c r="B182" s="35" t="s">
        <v>12</v>
      </c>
    </row>
    <row r="183" spans="1:2">
      <c r="A183" s="35" t="s">
        <v>12</v>
      </c>
      <c r="B183" s="35" t="s">
        <v>12</v>
      </c>
    </row>
    <row r="184" spans="1:2">
      <c r="A184" s="35" t="s">
        <v>12</v>
      </c>
      <c r="B184" s="35" t="s">
        <v>12</v>
      </c>
    </row>
    <row r="185" spans="1:2">
      <c r="A185" s="35" t="s">
        <v>12</v>
      </c>
      <c r="B185" s="35" t="s">
        <v>12</v>
      </c>
    </row>
    <row r="186" spans="1:2">
      <c r="A186" s="35" t="s">
        <v>12</v>
      </c>
      <c r="B186" s="35" t="s">
        <v>12</v>
      </c>
    </row>
    <row r="187" spans="1:2">
      <c r="A187" s="35" t="s">
        <v>12</v>
      </c>
      <c r="B187" s="35" t="s">
        <v>12</v>
      </c>
    </row>
    <row r="188" spans="1:2">
      <c r="A188" s="35" t="s">
        <v>12</v>
      </c>
      <c r="B188" s="35" t="s">
        <v>12</v>
      </c>
    </row>
    <row r="189" spans="1:2">
      <c r="A189" s="35" t="s">
        <v>12</v>
      </c>
      <c r="B189" s="35" t="s">
        <v>12</v>
      </c>
    </row>
    <row r="190" spans="1:2">
      <c r="A190" s="35" t="s">
        <v>12</v>
      </c>
      <c r="B190" s="35" t="s">
        <v>12</v>
      </c>
    </row>
    <row r="191" spans="1:2">
      <c r="A191" s="35" t="s">
        <v>12</v>
      </c>
      <c r="B191" s="35" t="s">
        <v>12</v>
      </c>
    </row>
    <row r="192" spans="1:2">
      <c r="A192" s="35" t="s">
        <v>12</v>
      </c>
      <c r="B192" s="35" t="s">
        <v>12</v>
      </c>
    </row>
    <row r="193" spans="1:2">
      <c r="A193" s="35" t="s">
        <v>12</v>
      </c>
      <c r="B193" s="35" t="s">
        <v>12</v>
      </c>
    </row>
    <row r="194" spans="1:2">
      <c r="A194" s="35" t="s">
        <v>12</v>
      </c>
      <c r="B194" s="35" t="s">
        <v>12</v>
      </c>
    </row>
    <row r="195" spans="1:2">
      <c r="A195" s="35" t="s">
        <v>12</v>
      </c>
      <c r="B195" s="35" t="s">
        <v>12</v>
      </c>
    </row>
    <row r="196" spans="1:2">
      <c r="A196" s="35" t="s">
        <v>12</v>
      </c>
      <c r="B196" s="35" t="s">
        <v>12</v>
      </c>
    </row>
    <row r="197" spans="1:2">
      <c r="A197" s="35" t="s">
        <v>12</v>
      </c>
      <c r="B197" s="35" t="s">
        <v>12</v>
      </c>
    </row>
    <row r="198" spans="1:2">
      <c r="A198" s="35" t="s">
        <v>12</v>
      </c>
      <c r="B198" s="35" t="s">
        <v>12</v>
      </c>
    </row>
    <row r="199" spans="1:2">
      <c r="A199" s="35" t="s">
        <v>12</v>
      </c>
      <c r="B199" s="35" t="s">
        <v>12</v>
      </c>
    </row>
    <row r="200" spans="1:2">
      <c r="A200" s="35" t="s">
        <v>12</v>
      </c>
      <c r="B200" s="35" t="s">
        <v>12</v>
      </c>
    </row>
  </sheetData>
  <dataValidations count="2">
    <dataValidation type="list" allowBlank="1" showInputMessage="1" showErrorMessage="1" sqref="A2:A1048576">
      <formula1>"文俊,亚婷,佳琳,"</formula1>
    </dataValidation>
    <dataValidation type="list" allowBlank="1" showInputMessage="1" showErrorMessage="1" sqref="B2:B1048576">
      <formula1>"仅查阅介绍,已下载,已读取样本,已绘制曲线,"</formula1>
    </dataValidation>
  </dataValidations>
  <hyperlinks>
    <hyperlink ref="K3" r:id="rId1" display="=HYPERLINK(&quot;https://github.com/alibaba/clusterdata/tree/master/cluster-trace-gpu-v2020&quot;,&quot;官方说明与字段定义&quot;)"/>
    <hyperlink ref="L3" r:id="rId2" display="=HYPERLINK(&quot;https://aliopentrace.oss-cn-beijing.aliyuncs.com/v2020GPUTraces/pai_job_table.tar.gz&quot;,&quot;作业表（标签表见说明）&quot;)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杨佳琳</cp:lastModifiedBy>
  <dcterms:created xsi:type="dcterms:W3CDTF">2026-09-14T01:32:52Z</dcterms:created>
  <dcterms:modified xsi:type="dcterms:W3CDTF">2026-09-14T02:22:23Z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B9E85847F5AF4FA7997843694FDDA351_12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